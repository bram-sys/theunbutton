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ID#AAAB1_2GW6s
tc={A67574BA-ADF3-4B54-B6F7-9DCA89FC47B3}    (2026-03-17 15:43:53)
[Threaded comment]
Your version of Excel allows you to read this threaded comment; however, any edits to it will get removed if the file is opened in a newer version of Excel. Learn more: https://go.microsoft.com/fwlink/?linkid=870924
Comment:
    Schatting van kosten en baten, voor aanvang van het project. Deze kolom is ingevuld als je de aanvraag indient.</t>
      </text>
    </comment>
    <comment authorId="0" ref="C5">
      <text>
        <t xml:space="preserve">======
ID#AAAB1_2GW6o
tc={F7667F7C-68C4-4177-AA7F-462ACB3089A1}    (2026-03-17 15:43:53)
[Threaded comment]
Your version of Excel allows you to read this threaded comment; however, any edits to it will get removed if the file is opened in a newer version of Excel. Learn more: https://go.microsoft.com/fwlink/?linkid=870924
Comment:
    Vul deze kolom in nadat je weet welke fondsen en financiers hebben afgewezen of toegezegd en stuur de begroting dan opnieuw naar de fondsen die een bijdrage hebben toegekend.</t>
      </text>
    </comment>
    <comment authorId="0" ref="D5">
      <text>
        <t xml:space="preserve">======
ID#AAAB1_2GW6k
tc={6A24D59D-697C-4D17-9ABD-35305DA34585}    (2026-03-17 15:43:53)
[Threaded comment]
Your version of Excel allows you to read this threaded comment; however, any edits to it will get removed if the file is opened in a newer version of Excel. Learn more: https://go.microsoft.com/fwlink/?linkid=870924
Comment:
    Vul deze kolom in na afloop van het project.</t>
      </text>
    </comment>
  </commentList>
</comments>
</file>

<file path=xl/sharedStrings.xml><?xml version="1.0" encoding="utf-8"?>
<sst xmlns="http://schemas.openxmlformats.org/spreadsheetml/2006/main" count="58" uniqueCount="51">
  <si>
    <t>Anouscha Fajdiga</t>
  </si>
  <si>
    <t>Achter Vergeten Deuren</t>
  </si>
  <si>
    <t>Kosten</t>
  </si>
  <si>
    <t>Voorbereidingskosten</t>
  </si>
  <si>
    <t>Begroting</t>
  </si>
  <si>
    <t>Gewijzigd</t>
  </si>
  <si>
    <t>Realisatie</t>
  </si>
  <si>
    <t>Toelichting</t>
  </si>
  <si>
    <t>Regie (Anouscha Fajdiga)</t>
  </si>
  <si>
    <t>6 dagen X € 200</t>
  </si>
  <si>
    <t>Repetities 5 acteurs</t>
  </si>
  <si>
    <t>6 dagen X 5 acteurs X € 200</t>
  </si>
  <si>
    <t>Script (Anouscha Fajdiga)</t>
  </si>
  <si>
    <t>5 dagen X € 200</t>
  </si>
  <si>
    <t>Repetitieruimte</t>
  </si>
  <si>
    <t>Gebaseerd op kosten ruimteverhuur bij CREA</t>
  </si>
  <si>
    <t>Decór</t>
  </si>
  <si>
    <t>Kostuum</t>
  </si>
  <si>
    <t>Uitvoeringskosten</t>
  </si>
  <si>
    <t>Speeldagen 5 acteurs</t>
  </si>
  <si>
    <t>3 dagen X 5 acteurs X € 200</t>
  </si>
  <si>
    <t>Technicus</t>
  </si>
  <si>
    <t>3 dagen X € 200</t>
  </si>
  <si>
    <t>Productie</t>
  </si>
  <si>
    <t>*Technisch materieel</t>
  </si>
  <si>
    <t>€  350.00 hiervan is gesponsord, zie Baten</t>
  </si>
  <si>
    <t>Publiciteit</t>
  </si>
  <si>
    <t>Social Media</t>
  </si>
  <si>
    <t>Drukwerk</t>
  </si>
  <si>
    <t xml:space="preserve">Verspreiding </t>
  </si>
  <si>
    <t xml:space="preserve">Onvoorzien </t>
  </si>
  <si>
    <t>(2 of 3% van het totaal)</t>
  </si>
  <si>
    <t>Totale kosten</t>
  </si>
  <si>
    <t>Baten</t>
  </si>
  <si>
    <t>Publieksinkomsten</t>
  </si>
  <si>
    <t>Uitkoopsommen</t>
  </si>
  <si>
    <t xml:space="preserve">Garantiesom Delft Fringe Festival </t>
  </si>
  <si>
    <t>Sponsoring en particuliere bijdragen</t>
  </si>
  <si>
    <t>Sponsor NLE Tech</t>
  </si>
  <si>
    <t>Techniek materiaal</t>
  </si>
  <si>
    <t>Private fondsen, vermogensfondsen</t>
  </si>
  <si>
    <t>Amarte</t>
  </si>
  <si>
    <t>Aangevraagd</t>
  </si>
  <si>
    <t>Cultuur Fonds (Fonds ZOZ)</t>
  </si>
  <si>
    <t>Janivo</t>
  </si>
  <si>
    <t>Eigen bijdrage</t>
  </si>
  <si>
    <t>Totale baten</t>
  </si>
  <si>
    <t>Bij een sluitende begroting is het resultaat € 0</t>
  </si>
  <si>
    <t>Resultaat</t>
  </si>
  <si>
    <t>Aantal voorstellingen</t>
  </si>
  <si>
    <t>* NB: geef ook aan de kosten-kant aan welke posten gesponsord of gekapitaliseerd zijn, bijvoorbeeld door middel van een sterretje.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</si>
</sst>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[$€-413]\ * #,##0.00_ ;_ [$€-413]\ * \-#,##0.00_ ;_ [$€-413]\ * &quot;-&quot;??_ ;_ @_ "/>
    <numFmt numFmtId="165" formatCode="_ &quot;€&quot;\ * #,##0.00_ ;_ &quot;€&quot;\ * \-#,##0.00_ ;_ &quot;€&quot;\ * &quot;-&quot;??_ ;_ @_ "/>
  </numFmts>
  <fonts count="6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  <font>
      <b/>
      <sz val="12.0"/>
      <color/>
      <name val="Calibri"/>
    </font>
    <font>
      <color/>
      <name val="Calibri"/>
    </font>
    <font>
      <i/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3" numFmtId="0" xfId="0" applyBorder="1" applyFill="1" applyFont="1"/>
    <xf borderId="1" fillId="2" fontId="2" numFmtId="164" xfId="0" applyBorder="1" applyFont="1" applyNumberFormat="1"/>
    <xf borderId="1" fillId="2" fontId="2" numFmtId="0" xfId="0" applyBorder="1" applyFont="1"/>
    <xf borderId="0" fillId="0" fontId="1" numFmtId="164" xfId="0" applyFont="1" applyNumberFormat="1"/>
    <xf borderId="0" fillId="0" fontId="4" numFmtId="0" xfId="0" applyFont="1"/>
    <xf borderId="2" fillId="0" fontId="2" numFmtId="164" xfId="0" applyBorder="1" applyFont="1" applyNumberFormat="1"/>
    <xf borderId="2" fillId="0" fontId="2" numFmtId="0" xfId="0" applyBorder="1" applyFont="1"/>
    <xf borderId="2" fillId="0" fontId="5" numFmtId="0" xfId="0" applyBorder="1" applyFont="1"/>
    <xf borderId="2" fillId="0" fontId="2" numFmtId="9" xfId="0" applyBorder="1" applyFont="1" applyNumberFormat="1"/>
    <xf borderId="0" fillId="0" fontId="3" numFmtId="0" xfId="0" applyFont="1"/>
    <xf borderId="2" fillId="0" fontId="2" numFmtId="165" xfId="0" applyBorder="1" applyFont="1" applyNumberFormat="1"/>
    <xf borderId="0" fillId="0" fontId="2" numFmtId="165" xfId="0" applyFont="1" applyNumberFormat="1"/>
    <xf borderId="0" fillId="0" fontId="5" numFmtId="0" xfId="0" applyFont="1"/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14.29"/>
    <col customWidth="1" min="3" max="4" width="14.43"/>
    <col customWidth="1" min="5" max="5" width="50.43"/>
    <col customWidth="1" min="6" max="6" width="8.71"/>
  </cols>
  <sheetData>
    <row r="1">
      <c r="A1" s="1" t="s">
        <v>0</v>
      </c>
      <c r="B1" s="2"/>
    </row>
    <row r="2">
      <c r="A2" s="1" t="s">
        <v>1</v>
      </c>
      <c r="B2" s="2"/>
    </row>
    <row r="3">
      <c r="B3" s="2"/>
    </row>
    <row r="4">
      <c r="A4" s="3" t="s">
        <v>2</v>
      </c>
      <c r="B4" s="4"/>
      <c r="C4" s="5"/>
      <c r="D4" s="5"/>
      <c r="E4" s="5"/>
    </row>
    <row r="5">
      <c r="A5" s="1" t="s">
        <v>3</v>
      </c>
      <c r="B5" s="6" t="s">
        <v>4</v>
      </c>
      <c r="C5" s="1" t="s">
        <v>5</v>
      </c>
      <c r="D5" s="1" t="s">
        <v>6</v>
      </c>
      <c r="E5" s="1" t="s">
        <v>7</v>
      </c>
    </row>
    <row r="6">
      <c r="B6" s="2"/>
    </row>
    <row r="7">
      <c r="A7" s="7" t="s">
        <v>8</v>
      </c>
      <c r="B7" s="8">
        <v>1200.0</v>
      </c>
      <c r="C7" s="9"/>
      <c r="D7" s="9"/>
      <c r="E7" s="10" t="s">
        <v>9</v>
      </c>
    </row>
    <row r="8">
      <c r="A8" s="7" t="s">
        <v>10</v>
      </c>
      <c r="B8" s="8">
        <v>6000.0</v>
      </c>
      <c r="C8" s="9"/>
      <c r="D8" s="9"/>
      <c r="E8" s="10" t="s">
        <v>11</v>
      </c>
    </row>
    <row r="9">
      <c r="A9" s="7" t="s">
        <v>12</v>
      </c>
      <c r="B9" s="8">
        <v>1000.0</v>
      </c>
      <c r="C9" s="9"/>
      <c r="D9" s="9"/>
      <c r="E9" s="10" t="s">
        <v>13</v>
      </c>
    </row>
    <row r="10">
      <c r="A10" s="7" t="s">
        <v>14</v>
      </c>
      <c r="B10" s="8">
        <v>700.0</v>
      </c>
      <c r="C10" s="9"/>
      <c r="D10" s="9"/>
      <c r="E10" s="10" t="s">
        <v>15</v>
      </c>
    </row>
    <row r="11">
      <c r="A11" s="7" t="s">
        <v>16</v>
      </c>
      <c r="B11" s="8">
        <v>350.0</v>
      </c>
      <c r="C11" s="9"/>
      <c r="D11" s="9"/>
      <c r="E11" s="9"/>
    </row>
    <row r="12">
      <c r="A12" s="7" t="s">
        <v>17</v>
      </c>
      <c r="B12" s="8">
        <v>250.0</v>
      </c>
      <c r="C12" s="9"/>
      <c r="D12" s="9"/>
      <c r="E12" s="9"/>
    </row>
    <row r="13">
      <c r="A13" s="1"/>
      <c r="B13" s="8"/>
      <c r="C13" s="9"/>
      <c r="D13" s="9"/>
      <c r="E13" s="9"/>
    </row>
    <row r="14">
      <c r="A14" s="1" t="s">
        <v>18</v>
      </c>
      <c r="B14" s="8"/>
      <c r="C14" s="9"/>
      <c r="D14" s="9"/>
      <c r="E14" s="9"/>
    </row>
    <row r="15">
      <c r="B15" s="8"/>
      <c r="C15" s="9"/>
      <c r="D15" s="9"/>
      <c r="E15" s="10"/>
    </row>
    <row r="16">
      <c r="A16" s="7" t="s">
        <v>19</v>
      </c>
      <c r="B16" s="8">
        <v>3000.0</v>
      </c>
      <c r="C16" s="9"/>
      <c r="D16" s="9"/>
      <c r="E16" s="10" t="s">
        <v>20</v>
      </c>
    </row>
    <row r="17">
      <c r="A17" s="7" t="s">
        <v>21</v>
      </c>
      <c r="B17" s="8">
        <v>600.0</v>
      </c>
      <c r="C17" s="9"/>
      <c r="D17" s="9"/>
      <c r="E17" s="10" t="s">
        <v>22</v>
      </c>
    </row>
    <row r="18">
      <c r="A18" s="7" t="s">
        <v>23</v>
      </c>
      <c r="B18" s="8">
        <v>600.0</v>
      </c>
      <c r="C18" s="9"/>
      <c r="D18" s="9"/>
      <c r="E18" s="10" t="s">
        <v>22</v>
      </c>
    </row>
    <row r="19">
      <c r="A19" s="7" t="s">
        <v>24</v>
      </c>
      <c r="B19" s="8">
        <v>500.0</v>
      </c>
      <c r="C19" s="9"/>
      <c r="D19" s="9"/>
      <c r="E19" s="9" t="s">
        <v>25</v>
      </c>
    </row>
    <row r="20">
      <c r="B20" s="8"/>
      <c r="C20" s="9"/>
      <c r="D20" s="9"/>
      <c r="E20" s="9"/>
    </row>
    <row r="21" ht="15.75" customHeight="1">
      <c r="A21" s="1" t="s">
        <v>26</v>
      </c>
      <c r="B21" s="8"/>
      <c r="C21" s="9"/>
      <c r="D21" s="9"/>
      <c r="E21" s="9"/>
    </row>
    <row r="22" ht="15.75" customHeight="1">
      <c r="B22" s="8"/>
      <c r="C22" s="9"/>
      <c r="D22" s="9"/>
      <c r="E22" s="10"/>
    </row>
    <row r="23" ht="15.75" customHeight="1">
      <c r="A23" s="7" t="s">
        <v>27</v>
      </c>
      <c r="B23" s="8">
        <v>100.0</v>
      </c>
      <c r="C23" s="9"/>
      <c r="D23" s="9"/>
      <c r="E23" s="9"/>
    </row>
    <row r="24" ht="15.75" customHeight="1">
      <c r="A24" s="7" t="s">
        <v>28</v>
      </c>
      <c r="B24" s="8">
        <v>150.0</v>
      </c>
      <c r="C24" s="9"/>
      <c r="D24" s="9"/>
      <c r="E24" s="9"/>
    </row>
    <row r="25" ht="15.75" customHeight="1">
      <c r="A25" s="7" t="s">
        <v>29</v>
      </c>
      <c r="B25" s="8">
        <v>300.0</v>
      </c>
      <c r="C25" s="9"/>
      <c r="D25" s="9"/>
      <c r="E25" s="9"/>
    </row>
    <row r="26" ht="15.75" customHeight="1">
      <c r="A26" s="1" t="s">
        <v>30</v>
      </c>
      <c r="B26" s="8">
        <v>250.0</v>
      </c>
      <c r="C26" s="9"/>
      <c r="D26" s="9"/>
      <c r="E26" s="11" t="s">
        <v>31</v>
      </c>
    </row>
    <row r="27" ht="15.75" customHeight="1">
      <c r="B27" s="2"/>
    </row>
    <row r="28" ht="15.75" customHeight="1">
      <c r="A28" s="12" t="s">
        <v>32</v>
      </c>
      <c r="B28" s="13" t="str">
        <f t="shared" ref="B28:D28" si="1">SUM(B7:B25)</f>
        <v> €  14,750.00 </v>
      </c>
      <c r="C28" s="13" t="str">
        <f t="shared" si="1"/>
        <v> €  -   </v>
      </c>
      <c r="D28" s="13" t="str">
        <f t="shared" si="1"/>
        <v> €  -   </v>
      </c>
    </row>
    <row r="29" ht="15.75" customHeight="1">
      <c r="B29" s="14"/>
    </row>
    <row r="30" ht="15.75" customHeight="1">
      <c r="A30" s="3" t="s">
        <v>33</v>
      </c>
      <c r="B30" s="4"/>
      <c r="C30" s="5"/>
      <c r="D30" s="5"/>
      <c r="E30" s="5"/>
    </row>
    <row r="31" ht="15.75" customHeight="1">
      <c r="B31" s="6" t="s">
        <v>4</v>
      </c>
      <c r="C31" s="1" t="s">
        <v>5</v>
      </c>
      <c r="D31" s="1" t="s">
        <v>6</v>
      </c>
      <c r="E31" s="1" t="s">
        <v>7</v>
      </c>
    </row>
    <row r="32" ht="15.75" customHeight="1">
      <c r="A32" s="1" t="s">
        <v>34</v>
      </c>
      <c r="B32" s="8"/>
      <c r="C32" s="9"/>
      <c r="D32" s="9"/>
      <c r="E32" s="9"/>
    </row>
    <row r="33" ht="15.75" customHeight="1">
      <c r="A33" s="7" t="s">
        <v>35</v>
      </c>
      <c r="B33" s="8">
        <v>3900.0</v>
      </c>
      <c r="C33" s="9"/>
      <c r="D33" s="9"/>
      <c r="E33" s="9" t="s">
        <v>36</v>
      </c>
    </row>
    <row r="34" ht="15.75" customHeight="1">
      <c r="B34" s="8"/>
      <c r="C34" s="9"/>
      <c r="D34" s="9"/>
      <c r="E34" s="9"/>
    </row>
    <row r="35" ht="15.75" customHeight="1">
      <c r="B35" s="8"/>
      <c r="C35" s="9"/>
      <c r="D35" s="9"/>
      <c r="E35" s="9"/>
    </row>
    <row r="36" ht="15.75" customHeight="1">
      <c r="A36" s="1" t="s">
        <v>37</v>
      </c>
      <c r="B36" s="8"/>
      <c r="C36" s="9"/>
      <c r="D36" s="9"/>
      <c r="E36" s="9"/>
    </row>
    <row r="37" ht="15.75" customHeight="1">
      <c r="A37" s="7" t="s">
        <v>38</v>
      </c>
      <c r="B37" s="8">
        <v>350.0</v>
      </c>
      <c r="C37" s="9"/>
      <c r="D37" s="9"/>
      <c r="E37" s="9" t="s">
        <v>39</v>
      </c>
    </row>
    <row r="38" ht="15.75" customHeight="1">
      <c r="B38" s="8"/>
      <c r="C38" s="9"/>
      <c r="D38" s="9"/>
      <c r="E38" s="9"/>
    </row>
    <row r="39" ht="15.75" customHeight="1">
      <c r="A39" s="1" t="s">
        <v>40</v>
      </c>
      <c r="B39" s="8"/>
      <c r="C39" s="9"/>
      <c r="D39" s="9"/>
      <c r="E39" s="9"/>
    </row>
    <row r="40" ht="15.75" customHeight="1">
      <c r="A40" s="7" t="s">
        <v>41</v>
      </c>
      <c r="B40" s="8">
        <v>3500.0</v>
      </c>
      <c r="C40" s="9"/>
      <c r="D40" s="9"/>
      <c r="E40" s="9" t="s">
        <v>42</v>
      </c>
    </row>
    <row r="41" ht="15.75" customHeight="1">
      <c r="A41" s="7" t="s">
        <v>43</v>
      </c>
      <c r="B41" s="8">
        <v>4000.0</v>
      </c>
      <c r="C41" s="9"/>
      <c r="D41" s="9"/>
      <c r="E41" s="9" t="s">
        <v>42</v>
      </c>
    </row>
    <row r="42" ht="15.75" customHeight="1">
      <c r="A42" s="7" t="s">
        <v>44</v>
      </c>
      <c r="B42" s="8">
        <v>3000.0</v>
      </c>
      <c r="C42" s="9"/>
      <c r="D42" s="9"/>
      <c r="E42" s="9" t="s">
        <v>42</v>
      </c>
    </row>
    <row r="43" ht="15.75" customHeight="1">
      <c r="B43" s="8"/>
      <c r="C43" s="9"/>
      <c r="D43" s="9"/>
      <c r="E43" s="9"/>
    </row>
    <row r="44" ht="15.75" customHeight="1">
      <c r="A44" s="7" t="s">
        <v>45</v>
      </c>
      <c r="B44" s="8"/>
      <c r="C44" s="9"/>
      <c r="D44" s="9"/>
    </row>
    <row r="45" ht="15.75" customHeight="1">
      <c r="B45" s="2"/>
    </row>
    <row r="46" ht="15.75" customHeight="1">
      <c r="A46" s="7" t="s">
        <v>46</v>
      </c>
      <c r="B46" s="8" t="str">
        <f t="shared" ref="B46:D46" si="2">SUM(B32:B44)</f>
        <v> €  14,750.00 </v>
      </c>
      <c r="C46" s="8" t="str">
        <f t="shared" si="2"/>
        <v> €  -   </v>
      </c>
      <c r="D46" s="8" t="str">
        <f t="shared" si="2"/>
        <v> €  -   </v>
      </c>
    </row>
    <row r="47" ht="15.75" customHeight="1">
      <c r="B47" s="2"/>
      <c r="E47" s="15" t="s">
        <v>47</v>
      </c>
    </row>
    <row r="48" ht="15.75" customHeight="1">
      <c r="A48" s="7" t="s">
        <v>48</v>
      </c>
      <c r="B48" s="8" t="str">
        <f t="shared" ref="B48:D48" si="3">B46-B28</f>
        <v> €  -   </v>
      </c>
      <c r="C48" s="8" t="str">
        <f t="shared" si="3"/>
        <v> €  -   </v>
      </c>
      <c r="D48" s="8" t="str">
        <f t="shared" si="3"/>
        <v> €  -   </v>
      </c>
    </row>
    <row r="49" ht="15.75" customHeight="1">
      <c r="B49" s="2"/>
    </row>
    <row r="50" ht="15.75" customHeight="1">
      <c r="A50" s="16" t="s">
        <v>49</v>
      </c>
      <c r="B50" s="9">
        <v>6.0</v>
      </c>
      <c r="C50" s="9"/>
      <c r="D50" s="9"/>
    </row>
    <row r="51" ht="15.75" customHeight="1">
      <c r="B51" s="2"/>
    </row>
    <row r="52" ht="15.75" customHeight="1">
      <c r="A52" s="7" t="s">
        <v>50</v>
      </c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2021-11-12T11:01:51Z</dcterms:created>
  <dc:creator>Matthia Jansen</dc:creator>
</cp:coreProperties>
</file>